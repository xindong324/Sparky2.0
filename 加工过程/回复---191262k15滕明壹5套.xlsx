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F:\Source\PCB\mySparky\加工过程\"/>
    </mc:Choice>
  </mc:AlternateContent>
  <xr:revisionPtr revIDLastSave="0" documentId="13_ncr:1_{1EA577B0-6857-4F09-9349-A7BB65A052A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ySparky2.0.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<sst xmlns="http://schemas.openxmlformats.org/spreadsheetml/2006/main" count="130" uniqueCount="101">
  <si>
    <t>Comment</t>
  </si>
  <si>
    <t>Designator</t>
  </si>
  <si>
    <t>Footprint</t>
  </si>
  <si>
    <t>LibRef</t>
  </si>
  <si>
    <t>Quantity</t>
  </si>
  <si>
    <t>Description</t>
  </si>
  <si>
    <r>
      <rPr>
        <sz val="8"/>
        <color rgb="FF000000"/>
        <rFont val="等线"/>
        <charset val="134"/>
      </rPr>
      <t>数量</t>
    </r>
  </si>
  <si>
    <r>
      <rPr>
        <sz val="8"/>
        <color rgb="FF000000"/>
        <rFont val="等线"/>
        <charset val="134"/>
      </rPr>
      <t>备注</t>
    </r>
  </si>
  <si>
    <t>金额</t>
  </si>
  <si>
    <t>客户回复</t>
  </si>
  <si>
    <t>pad</t>
  </si>
  <si>
    <t>JP1</t>
  </si>
  <si>
    <t>1.27*11</t>
  </si>
  <si>
    <r>
      <rPr>
        <sz val="8"/>
        <color rgb="FF000000"/>
        <rFont val="Segoe UI"/>
        <family val="2"/>
      </rPr>
      <t xml:space="preserve">1.27mm * 11pin </t>
    </r>
    <r>
      <rPr>
        <sz val="8"/>
        <color rgb="FF000000"/>
        <rFont val="宋体"/>
        <charset val="134"/>
      </rPr>
      <t>插针直插</t>
    </r>
  </si>
  <si>
    <r>
      <rPr>
        <sz val="8"/>
        <color rgb="FF000000"/>
        <rFont val="等线"/>
        <charset val="134"/>
      </rPr>
      <t>单排针</t>
    </r>
  </si>
  <si>
    <t>JP2</t>
  </si>
  <si>
    <t>1.27*15</t>
  </si>
  <si>
    <r>
      <rPr>
        <sz val="8"/>
        <color rgb="FF000000"/>
        <rFont val="Segoe UI"/>
        <family val="2"/>
      </rPr>
      <t xml:space="preserve">1.27mm'15pin </t>
    </r>
    <r>
      <rPr>
        <sz val="8"/>
        <color rgb="FF000000"/>
        <rFont val="宋体"/>
        <charset val="134"/>
      </rPr>
      <t>插针直插</t>
    </r>
  </si>
  <si>
    <t>BAT54C</t>
  </si>
  <si>
    <t>D1</t>
  </si>
  <si>
    <t>SOT23</t>
  </si>
  <si>
    <t xml:space="preserve">Dual Diode Command Cathode BAT54C </t>
  </si>
  <si>
    <t xml:space="preserve">BAT54C </t>
  </si>
  <si>
    <t>100nF</t>
  </si>
  <si>
    <t>C11, C12, C14, C15, C16, C18, C19, C20, C22, C27, C38</t>
  </si>
  <si>
    <t>0402C</t>
  </si>
  <si>
    <t>cap</t>
  </si>
  <si>
    <r>
      <rPr>
        <sz val="8"/>
        <color rgb="FF000000"/>
        <rFont val="等线"/>
        <charset val="134"/>
      </rPr>
      <t>贴片电容</t>
    </r>
  </si>
  <si>
    <t>10nF</t>
  </si>
  <si>
    <t>C2, C5, C8, C10, C13</t>
  </si>
  <si>
    <t>10uF</t>
  </si>
  <si>
    <t>C3, C4, C6</t>
  </si>
  <si>
    <t>0805-1</t>
  </si>
  <si>
    <t>2.2uF</t>
  </si>
  <si>
    <t>C17, C21</t>
  </si>
  <si>
    <t>Flash 16Mbits</t>
  </si>
  <si>
    <t>U9</t>
  </si>
  <si>
    <t>SO8_N</t>
  </si>
  <si>
    <t>Flash</t>
  </si>
  <si>
    <r>
      <rPr>
        <sz val="8"/>
        <color rgb="FF000000"/>
        <rFont val="等线"/>
        <charset val="134"/>
      </rPr>
      <t>不祥</t>
    </r>
  </si>
  <si>
    <t>1uH</t>
  </si>
  <si>
    <t>L2</t>
  </si>
  <si>
    <t>L0603</t>
  </si>
  <si>
    <t>inducer</t>
  </si>
  <si>
    <r>
      <rPr>
        <sz val="8"/>
        <color rgb="FF000000"/>
        <rFont val="等线"/>
        <charset val="134"/>
      </rPr>
      <t>贴片电感</t>
    </r>
  </si>
  <si>
    <t>LED-B</t>
  </si>
  <si>
    <t>LED1</t>
  </si>
  <si>
    <t>0402LED B</t>
  </si>
  <si>
    <r>
      <rPr>
        <sz val="8"/>
        <color rgb="FF000000"/>
        <rFont val="宋体"/>
        <charset val="134"/>
      </rPr>
      <t>蓝色</t>
    </r>
    <r>
      <rPr>
        <sz val="8"/>
        <color rgb="FF000000"/>
        <rFont val="Segoe UI"/>
        <family val="2"/>
      </rPr>
      <t>LED</t>
    </r>
  </si>
  <si>
    <t>LED_GREEN_PWR</t>
  </si>
  <si>
    <t>LED2</t>
  </si>
  <si>
    <t>0402LED G</t>
  </si>
  <si>
    <t>LED_GREEN</t>
  </si>
  <si>
    <r>
      <rPr>
        <sz val="8"/>
        <color rgb="FF000000"/>
        <rFont val="等线"/>
        <charset val="134"/>
      </rPr>
      <t>绿色</t>
    </r>
    <r>
      <rPr>
        <sz val="8"/>
        <color rgb="FF000000"/>
        <rFont val="Segoe UI"/>
        <family val="2"/>
      </rPr>
      <t>led</t>
    </r>
  </si>
  <si>
    <t>LP2992-3.3</t>
  </si>
  <si>
    <t>U2</t>
  </si>
  <si>
    <t>SOT-23-5L</t>
  </si>
  <si>
    <t>LP2992IM5-3.3/NOPBCT-ND</t>
  </si>
  <si>
    <r>
      <rPr>
        <sz val="8"/>
        <color rgb="FF000000"/>
        <rFont val="等线"/>
        <charset val="134"/>
      </rPr>
      <t>缺货</t>
    </r>
  </si>
  <si>
    <t>MPU9250</t>
  </si>
  <si>
    <t>U4</t>
  </si>
  <si>
    <t>QFN24-0.4</t>
  </si>
  <si>
    <t/>
  </si>
  <si>
    <t>MS5611</t>
  </si>
  <si>
    <t>U7</t>
  </si>
  <si>
    <t>MS5611-01BA</t>
  </si>
  <si>
    <t>MS561101BA03</t>
  </si>
  <si>
    <t>缺货</t>
  </si>
  <si>
    <t>10K</t>
  </si>
  <si>
    <t>R1, R3, R4, R5, R10, R16, R18, R20, R21</t>
  </si>
  <si>
    <t>0402R</t>
  </si>
  <si>
    <t>Res-0402</t>
  </si>
  <si>
    <r>
      <rPr>
        <sz val="8"/>
        <color rgb="FF000000"/>
        <rFont val="等线"/>
        <charset val="134"/>
      </rPr>
      <t>贴片电阻</t>
    </r>
  </si>
  <si>
    <t>22R</t>
  </si>
  <si>
    <t>R11, R13</t>
  </si>
  <si>
    <t>330R</t>
  </si>
  <si>
    <t>R2, R8</t>
  </si>
  <si>
    <t>STM32F405RGT6</t>
  </si>
  <si>
    <t>U1</t>
  </si>
  <si>
    <t>STM-LQFP64_N</t>
  </si>
  <si>
    <t>ARM Cortex-M4 32-bit MCU+FPU, 210 DMIPS, 1024 kB Flash, 192 kB Internal RAM, 51 I/Os, 64-pin LQFP, -40 to 85 degC, Tray</t>
  </si>
  <si>
    <t>USB</t>
  </si>
  <si>
    <t>CONN1</t>
  </si>
  <si>
    <t>USB_MIC</t>
  </si>
  <si>
    <t>USB-MIC</t>
  </si>
  <si>
    <r>
      <rPr>
        <sz val="8"/>
        <color rgb="FF000000"/>
        <rFont val="Segoe UI"/>
        <family val="2"/>
      </rPr>
      <t xml:space="preserve">USB Micro USB R/A Type B </t>
    </r>
    <r>
      <rPr>
        <sz val="8"/>
        <color rgb="FF000000"/>
        <rFont val="宋体"/>
        <charset val="134"/>
      </rPr>
      <t>贴片</t>
    </r>
    <r>
      <rPr>
        <sz val="8"/>
        <color rgb="FF000000"/>
        <rFont val="Segoe UI"/>
        <family val="2"/>
      </rPr>
      <t>Micro-USB</t>
    </r>
    <r>
      <rPr>
        <sz val="8"/>
        <color rgb="FF000000"/>
        <rFont val="宋体"/>
        <charset val="134"/>
      </rPr>
      <t>母座无定位柱</t>
    </r>
  </si>
  <si>
    <r>
      <rPr>
        <sz val="8"/>
        <color rgb="FF000000"/>
        <rFont val="等线"/>
        <charset val="134"/>
      </rPr>
      <t>需要图片</t>
    </r>
  </si>
  <si>
    <t>XOR</t>
  </si>
  <si>
    <t>U6</t>
  </si>
  <si>
    <t>SC70-5</t>
  </si>
  <si>
    <t>XOR Gate SN74LVC1G86DCKR</t>
  </si>
  <si>
    <t>SN74LVC1G86DCKR</t>
  </si>
  <si>
    <t>8MHz</t>
  </si>
  <si>
    <t>X1</t>
  </si>
  <si>
    <t>XTAL3215</t>
  </si>
  <si>
    <t>XTAL-3215</t>
  </si>
  <si>
    <t>三脚贴片无源晶振</t>
  </si>
  <si>
    <t>三脚  3213</t>
  </si>
  <si>
    <t>16Mbit SPI Flash Memory M25P16-VMN6P-ND</t>
    <phoneticPr fontId="5" type="noConversion"/>
  </si>
  <si>
    <t>客供</t>
    <phoneticPr fontId="5" type="noConversion"/>
  </si>
  <si>
    <t>如图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</si>
</sst>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8"/>
      <color rgb="FF000000"/>
      <name val="Segoe UI"/>
      <family val="2"/>
    </font>
    <font>
      <sz val="8"/>
      <color rgb="FF000000"/>
      <name val="等线"/>
      <charset val="134"/>
    </font>
    <font>
      <sz val="8"/>
      <color rgb="FF000000"/>
      <name val="宋体"/>
      <charset val="134"/>
    </font>
    <font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3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>
      <alignment vertical="center"/>
    </xf>
    <xf numFmtId="0" fontId="3" fillId="0" borderId="1" xfId="0" quotePrefix="1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19</xdr:row>
      <xdr:rowOff>0</xdr:rowOff>
    </xdr:from>
    <xdr:to>
      <xdr:col>21</xdr:col>
      <xdr:colOff>358140</xdr:colOff>
      <xdr:row>58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ECBEAD9-F8C9-4A4A-9029-2178F6BA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9160" y="4503420"/>
          <a:ext cx="7147560" cy="9212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"/>
  <sheetViews>
    <sheetView tabSelected="1" topLeftCell="A7" zoomScale="85" zoomScaleNormal="85" workbookViewId="0">
      <selection activeCell="K19" sqref="K19"/>
    </sheetView>
  </sheetViews>
  <sheetFormatPr defaultColWidth="9" defaultRowHeight="18.75" customHeight="1" x14ac:dyDescent="0.25"/>
  <cols>
    <col min="1" max="1" width="11.109375" customWidth="1"/>
    <col min="2" max="3" width="7.6640625" customWidth="1"/>
    <col min="4" max="4" width="10.44140625" customWidth="1"/>
    <col min="5" max="5" width="5.109375" customWidth="1"/>
    <col min="6" max="6" width="41.6640625" customWidth="1"/>
    <col min="7" max="7" width="9" style="1"/>
    <col min="8" max="8" width="13.5546875" customWidth="1"/>
  </cols>
  <sheetData>
    <row r="1" spans="1:10" ht="18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" t="s">
        <v>6</v>
      </c>
      <c r="H1" s="3" t="s">
        <v>7</v>
      </c>
      <c r="I1" s="8" t="s">
        <v>8</v>
      </c>
      <c r="J1" s="8" t="s">
        <v>9</v>
      </c>
    </row>
    <row r="2" spans="1:10" ht="18.75" customHeight="1" x14ac:dyDescent="0.25">
      <c r="A2" s="11" t="s">
        <v>10</v>
      </c>
      <c r="B2" s="11" t="s">
        <v>11</v>
      </c>
      <c r="C2" s="11" t="s">
        <v>12</v>
      </c>
      <c r="D2" s="11" t="s">
        <v>12</v>
      </c>
      <c r="E2" s="4">
        <v>1</v>
      </c>
      <c r="F2" s="11" t="s">
        <v>13</v>
      </c>
      <c r="G2" s="1">
        <f>E2*5</f>
        <v>5</v>
      </c>
      <c r="H2" s="5" t="s">
        <v>14</v>
      </c>
      <c r="I2" s="9">
        <v>10</v>
      </c>
      <c r="J2" s="9"/>
    </row>
    <row r="3" spans="1:10" ht="18.75" customHeight="1" x14ac:dyDescent="0.25">
      <c r="A3" s="11" t="s">
        <v>10</v>
      </c>
      <c r="B3" s="11" t="s">
        <v>15</v>
      </c>
      <c r="C3" s="11" t="s">
        <v>16</v>
      </c>
      <c r="D3" s="11" t="s">
        <v>16</v>
      </c>
      <c r="E3" s="4">
        <v>1</v>
      </c>
      <c r="F3" s="11" t="s">
        <v>17</v>
      </c>
      <c r="G3" s="1">
        <f t="shared" ref="G3:G22" si="0">E3*5</f>
        <v>5</v>
      </c>
      <c r="H3" s="5" t="s">
        <v>14</v>
      </c>
      <c r="I3" s="9">
        <v>12</v>
      </c>
      <c r="J3" s="9"/>
    </row>
    <row r="4" spans="1:10" ht="18.75" customHeight="1" x14ac:dyDescent="0.25">
      <c r="A4" s="11" t="s">
        <v>18</v>
      </c>
      <c r="B4" s="11" t="s">
        <v>19</v>
      </c>
      <c r="C4" s="11" t="s">
        <v>20</v>
      </c>
      <c r="D4" s="11" t="s">
        <v>18</v>
      </c>
      <c r="E4" s="4">
        <v>1</v>
      </c>
      <c r="F4" s="11" t="s">
        <v>21</v>
      </c>
      <c r="G4" s="1">
        <f t="shared" si="0"/>
        <v>5</v>
      </c>
      <c r="H4" s="5" t="s">
        <v>22</v>
      </c>
      <c r="I4" s="9">
        <v>9</v>
      </c>
      <c r="J4" s="9"/>
    </row>
    <row r="5" spans="1:10" ht="19.5" customHeight="1" x14ac:dyDescent="0.25">
      <c r="A5" s="11" t="s">
        <v>23</v>
      </c>
      <c r="B5" s="11" t="s">
        <v>24</v>
      </c>
      <c r="C5" s="11" t="s">
        <v>25</v>
      </c>
      <c r="D5" s="11" t="s">
        <v>26</v>
      </c>
      <c r="E5" s="4">
        <v>11</v>
      </c>
      <c r="F5" s="11" t="s">
        <v>27</v>
      </c>
      <c r="G5" s="1">
        <f>E5*5+20</f>
        <v>75</v>
      </c>
      <c r="I5" s="9">
        <v>25</v>
      </c>
      <c r="J5" s="9"/>
    </row>
    <row r="6" spans="1:10" ht="18.75" customHeight="1" x14ac:dyDescent="0.25">
      <c r="A6" s="11" t="s">
        <v>28</v>
      </c>
      <c r="B6" s="11" t="s">
        <v>29</v>
      </c>
      <c r="C6" s="11" t="s">
        <v>25</v>
      </c>
      <c r="D6" s="11" t="s">
        <v>26</v>
      </c>
      <c r="E6" s="4">
        <v>5</v>
      </c>
      <c r="F6" s="11" t="s">
        <v>27</v>
      </c>
      <c r="G6" s="1">
        <f t="shared" ref="G6:G8" si="1">E6*5+20</f>
        <v>45</v>
      </c>
      <c r="I6" s="9">
        <v>17</v>
      </c>
      <c r="J6" s="9"/>
    </row>
    <row r="7" spans="1:10" ht="18.75" customHeight="1" x14ac:dyDescent="0.25">
      <c r="A7" s="11" t="s">
        <v>30</v>
      </c>
      <c r="B7" s="11" t="s">
        <v>31</v>
      </c>
      <c r="C7" s="11" t="s">
        <v>32</v>
      </c>
      <c r="D7" s="11" t="s">
        <v>26</v>
      </c>
      <c r="E7" s="4">
        <v>3</v>
      </c>
      <c r="F7" s="11" t="s">
        <v>27</v>
      </c>
      <c r="G7" s="1">
        <f t="shared" si="1"/>
        <v>35</v>
      </c>
      <c r="I7" s="9">
        <v>14</v>
      </c>
      <c r="J7" s="9"/>
    </row>
    <row r="8" spans="1:10" ht="18.75" customHeight="1" x14ac:dyDescent="0.25">
      <c r="A8" s="11" t="s">
        <v>33</v>
      </c>
      <c r="B8" s="11" t="s">
        <v>34</v>
      </c>
      <c r="C8" s="11" t="s">
        <v>25</v>
      </c>
      <c r="D8" s="11" t="s">
        <v>26</v>
      </c>
      <c r="E8" s="4">
        <v>2</v>
      </c>
      <c r="F8" s="11" t="s">
        <v>27</v>
      </c>
      <c r="G8" s="1">
        <f t="shared" si="1"/>
        <v>30</v>
      </c>
      <c r="I8" s="9">
        <v>12</v>
      </c>
      <c r="J8" s="9"/>
    </row>
    <row r="9" spans="1:10" ht="18.75" customHeight="1" x14ac:dyDescent="0.25">
      <c r="A9" s="11" t="s">
        <v>35</v>
      </c>
      <c r="B9" s="11" t="s">
        <v>36</v>
      </c>
      <c r="C9" s="11" t="s">
        <v>37</v>
      </c>
      <c r="D9" s="11" t="s">
        <v>38</v>
      </c>
      <c r="E9" s="4">
        <v>1</v>
      </c>
      <c r="F9" s="11" t="s">
        <v>98</v>
      </c>
      <c r="G9" s="1">
        <f t="shared" si="0"/>
        <v>5</v>
      </c>
      <c r="H9" s="6" t="s">
        <v>39</v>
      </c>
      <c r="I9" s="9"/>
      <c r="J9" s="13" t="s">
        <v>99</v>
      </c>
    </row>
    <row r="10" spans="1:10" ht="18.75" customHeight="1" x14ac:dyDescent="0.25">
      <c r="A10" s="11" t="s">
        <v>40</v>
      </c>
      <c r="B10" s="11" t="s">
        <v>41</v>
      </c>
      <c r="C10" s="11" t="s">
        <v>42</v>
      </c>
      <c r="D10" s="11" t="s">
        <v>43</v>
      </c>
      <c r="E10" s="4">
        <v>1</v>
      </c>
      <c r="F10" s="11" t="s">
        <v>44</v>
      </c>
      <c r="G10" s="1">
        <f>E10*5+20</f>
        <v>25</v>
      </c>
      <c r="I10" s="9">
        <v>13</v>
      </c>
      <c r="J10" s="9"/>
    </row>
    <row r="11" spans="1:10" ht="18.75" customHeight="1" x14ac:dyDescent="0.25">
      <c r="A11" s="11" t="s">
        <v>45</v>
      </c>
      <c r="B11" s="11" t="s">
        <v>46</v>
      </c>
      <c r="C11" s="11" t="s">
        <v>47</v>
      </c>
      <c r="D11" s="11" t="s">
        <v>45</v>
      </c>
      <c r="E11" s="4">
        <v>1</v>
      </c>
      <c r="F11" s="11" t="s">
        <v>48</v>
      </c>
      <c r="G11" s="1">
        <f t="shared" ref="G11:G12" si="2">E11*5+20</f>
        <v>25</v>
      </c>
      <c r="I11" s="9">
        <v>10</v>
      </c>
      <c r="J11" s="9"/>
    </row>
    <row r="12" spans="1:10" ht="19.5" customHeight="1" x14ac:dyDescent="0.25">
      <c r="A12" s="11" t="s">
        <v>49</v>
      </c>
      <c r="B12" s="11" t="s">
        <v>50</v>
      </c>
      <c r="C12" s="11" t="s">
        <v>51</v>
      </c>
      <c r="D12" s="11" t="s">
        <v>52</v>
      </c>
      <c r="E12" s="4">
        <v>1</v>
      </c>
      <c r="F12" s="11" t="s">
        <v>53</v>
      </c>
      <c r="G12" s="1">
        <f t="shared" si="2"/>
        <v>25</v>
      </c>
      <c r="I12" s="9">
        <v>10</v>
      </c>
      <c r="J12" s="9"/>
    </row>
    <row r="13" spans="1:10" ht="18.75" customHeight="1" x14ac:dyDescent="0.25">
      <c r="A13" s="11" t="s">
        <v>54</v>
      </c>
      <c r="B13" s="11" t="s">
        <v>55</v>
      </c>
      <c r="C13" s="11" t="s">
        <v>56</v>
      </c>
      <c r="D13" s="11" t="s">
        <v>54</v>
      </c>
      <c r="E13" s="4">
        <v>1</v>
      </c>
      <c r="F13" s="11" t="s">
        <v>57</v>
      </c>
      <c r="G13" s="1">
        <f t="shared" si="0"/>
        <v>5</v>
      </c>
      <c r="H13" s="6" t="s">
        <v>58</v>
      </c>
      <c r="I13" s="9"/>
      <c r="J13" s="13" t="s">
        <v>99</v>
      </c>
    </row>
    <row r="14" spans="1:10" ht="18.75" customHeight="1" x14ac:dyDescent="0.25">
      <c r="A14" s="11" t="s">
        <v>59</v>
      </c>
      <c r="B14" s="11" t="s">
        <v>60</v>
      </c>
      <c r="C14" s="11" t="s">
        <v>61</v>
      </c>
      <c r="D14" s="11" t="s">
        <v>59</v>
      </c>
      <c r="E14" s="4">
        <v>1</v>
      </c>
      <c r="F14" s="11" t="s">
        <v>62</v>
      </c>
      <c r="G14" s="1">
        <f t="shared" si="0"/>
        <v>5</v>
      </c>
      <c r="H14" t="s">
        <v>59</v>
      </c>
      <c r="I14" s="9">
        <v>179</v>
      </c>
      <c r="J14" s="9"/>
    </row>
    <row r="15" spans="1:10" ht="18.75" customHeight="1" x14ac:dyDescent="0.25">
      <c r="A15" s="11" t="s">
        <v>63</v>
      </c>
      <c r="B15" s="11" t="s">
        <v>64</v>
      </c>
      <c r="C15" s="11" t="s">
        <v>65</v>
      </c>
      <c r="D15" s="11" t="s">
        <v>63</v>
      </c>
      <c r="E15" s="4">
        <v>1</v>
      </c>
      <c r="F15" s="11" t="s">
        <v>66</v>
      </c>
      <c r="G15" s="1">
        <f t="shared" si="0"/>
        <v>5</v>
      </c>
      <c r="H15" s="7" t="s">
        <v>67</v>
      </c>
      <c r="I15" s="9"/>
      <c r="J15" s="13" t="s">
        <v>99</v>
      </c>
    </row>
    <row r="16" spans="1:10" ht="18.75" customHeight="1" x14ac:dyDescent="0.25">
      <c r="A16" s="11" t="s">
        <v>68</v>
      </c>
      <c r="B16" s="11" t="s">
        <v>69</v>
      </c>
      <c r="C16" s="11" t="s">
        <v>70</v>
      </c>
      <c r="D16" s="11" t="s">
        <v>71</v>
      </c>
      <c r="E16" s="4">
        <v>9</v>
      </c>
      <c r="F16" s="11" t="s">
        <v>72</v>
      </c>
      <c r="G16" s="1">
        <f>E16*5+20</f>
        <v>65</v>
      </c>
      <c r="I16" s="9">
        <v>5</v>
      </c>
      <c r="J16" s="9"/>
    </row>
    <row r="17" spans="1:10" ht="18.75" customHeight="1" x14ac:dyDescent="0.25">
      <c r="A17" s="11" t="s">
        <v>73</v>
      </c>
      <c r="B17" s="11" t="s">
        <v>74</v>
      </c>
      <c r="C17" s="11" t="s">
        <v>70</v>
      </c>
      <c r="D17" s="11" t="s">
        <v>71</v>
      </c>
      <c r="E17" s="4">
        <v>2</v>
      </c>
      <c r="F17" s="11" t="s">
        <v>72</v>
      </c>
      <c r="G17" s="1">
        <f t="shared" ref="G17:G18" si="3">E17*5+20</f>
        <v>30</v>
      </c>
      <c r="I17" s="9">
        <v>5</v>
      </c>
      <c r="J17" s="9"/>
    </row>
    <row r="18" spans="1:10" ht="18.75" customHeight="1" x14ac:dyDescent="0.25">
      <c r="A18" s="11" t="s">
        <v>75</v>
      </c>
      <c r="B18" s="11" t="s">
        <v>76</v>
      </c>
      <c r="C18" s="11" t="s">
        <v>70</v>
      </c>
      <c r="D18" s="11" t="s">
        <v>71</v>
      </c>
      <c r="E18" s="4">
        <v>2</v>
      </c>
      <c r="F18" s="11" t="s">
        <v>72</v>
      </c>
      <c r="G18" s="1">
        <f t="shared" si="3"/>
        <v>30</v>
      </c>
      <c r="I18" s="9">
        <v>5</v>
      </c>
      <c r="J18" s="9"/>
    </row>
    <row r="19" spans="1:10" ht="18.75" customHeight="1" x14ac:dyDescent="0.25">
      <c r="A19" s="11" t="s">
        <v>77</v>
      </c>
      <c r="B19" s="11" t="s">
        <v>78</v>
      </c>
      <c r="C19" s="11" t="s">
        <v>79</v>
      </c>
      <c r="D19" s="11" t="s">
        <v>77</v>
      </c>
      <c r="E19" s="4">
        <v>1</v>
      </c>
      <c r="F19" s="11" t="s">
        <v>80</v>
      </c>
      <c r="G19" s="1">
        <f t="shared" si="0"/>
        <v>5</v>
      </c>
      <c r="H19" s="5" t="s">
        <v>77</v>
      </c>
      <c r="I19" s="9">
        <v>197</v>
      </c>
      <c r="J19" s="9"/>
    </row>
    <row r="20" spans="1:10" ht="18.75" customHeight="1" x14ac:dyDescent="0.25">
      <c r="A20" s="11" t="s">
        <v>81</v>
      </c>
      <c r="B20" s="11" t="s">
        <v>82</v>
      </c>
      <c r="C20" s="11" t="s">
        <v>83</v>
      </c>
      <c r="D20" s="11" t="s">
        <v>84</v>
      </c>
      <c r="E20" s="4">
        <v>1</v>
      </c>
      <c r="F20" s="11" t="s">
        <v>85</v>
      </c>
      <c r="G20" s="1">
        <f t="shared" si="0"/>
        <v>5</v>
      </c>
      <c r="H20" s="6" t="s">
        <v>86</v>
      </c>
      <c r="I20" s="9"/>
      <c r="J20" s="13" t="s">
        <v>100</v>
      </c>
    </row>
    <row r="21" spans="1:10" ht="18.75" customHeight="1" x14ac:dyDescent="0.25">
      <c r="A21" s="11" t="s">
        <v>87</v>
      </c>
      <c r="B21" s="11" t="s">
        <v>88</v>
      </c>
      <c r="C21" s="11" t="s">
        <v>89</v>
      </c>
      <c r="D21" s="11" t="s">
        <v>87</v>
      </c>
      <c r="E21" s="4">
        <v>1</v>
      </c>
      <c r="F21" s="11" t="s">
        <v>90</v>
      </c>
      <c r="G21" s="1">
        <f t="shared" si="0"/>
        <v>5</v>
      </c>
      <c r="H21" s="5" t="s">
        <v>91</v>
      </c>
      <c r="I21" s="9">
        <v>17</v>
      </c>
      <c r="J21" s="9"/>
    </row>
    <row r="22" spans="1:10" ht="18.75" customHeight="1" x14ac:dyDescent="0.25">
      <c r="A22" s="11" t="s">
        <v>92</v>
      </c>
      <c r="B22" s="11" t="s">
        <v>93</v>
      </c>
      <c r="C22" s="11" t="s">
        <v>94</v>
      </c>
      <c r="D22" s="11" t="s">
        <v>95</v>
      </c>
      <c r="E22" s="4">
        <v>1</v>
      </c>
      <c r="F22" s="12" t="s">
        <v>96</v>
      </c>
      <c r="G22" s="1">
        <f t="shared" si="0"/>
        <v>5</v>
      </c>
      <c r="H22" t="s">
        <v>97</v>
      </c>
      <c r="I22" s="9">
        <v>14</v>
      </c>
      <c r="J22" s="9"/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mySparky2.0.2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2020-06-04T01:10:00Z</dcterms:created>
  <dcterms:modified xsi:type="dcterms:W3CDTF">2020-06-05T10:39:23Z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